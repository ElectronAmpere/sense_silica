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Selva\Desktop\Herbvin\Soil_moisture\"/>
    </mc:Choice>
  </mc:AlternateContent>
  <xr:revisionPtr revIDLastSave="0" documentId="13_ncr:1_{A73D284B-5D69-458D-BE63-F052E477A2A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01-Jul" sheetId="1" r:id="rId1"/>
    <sheet name="ChatGPT_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H3" i="1"/>
  <c r="F3" i="1"/>
  <c r="D3" i="1"/>
  <c r="E3" i="1"/>
  <c r="H2" i="1"/>
  <c r="F2" i="1"/>
  <c r="D2" i="1"/>
  <c r="E2" i="1"/>
</calcChain>
</file>

<file path=xl/sharedStrings.xml><?xml version="1.0" encoding="utf-8"?>
<sst xmlns="http://schemas.openxmlformats.org/spreadsheetml/2006/main" count="36" uniqueCount="29">
  <si>
    <t>Timestamp</t>
  </si>
  <si>
    <t>Zone</t>
  </si>
  <si>
    <t>Remarks</t>
  </si>
  <si>
    <t>Dry Soil</t>
  </si>
  <si>
    <t>Wet Soil</t>
  </si>
  <si>
    <t>Temp (*C)</t>
  </si>
  <si>
    <t>Humidity (%)</t>
  </si>
  <si>
    <t>Moisture (%)</t>
  </si>
  <si>
    <t>PH (pH)</t>
  </si>
  <si>
    <t>N (mg/kg)</t>
  </si>
  <si>
    <t>P (mg/kg)</t>
  </si>
  <si>
    <t>K (mg/kg)</t>
  </si>
  <si>
    <t>EC(ms/cm)</t>
  </si>
  <si>
    <t>1. Nitrogen (N):</t>
  </si>
  <si>
    <t>Low: Below 10 mg/kg</t>
  </si>
  <si>
    <t>Medium: 10-50 mg/kg</t>
  </si>
  <si>
    <t>High: Above 50 mg/kg</t>
  </si>
  <si>
    <t>2. Phosphorus (P):</t>
  </si>
  <si>
    <t>Low: Below 5 mg/kg</t>
  </si>
  <si>
    <t>Medium: 5-20 mg/kg</t>
  </si>
  <si>
    <t>High: Above 20 mg/kg</t>
  </si>
  <si>
    <t>3. Potassium (K):</t>
  </si>
  <si>
    <t>Low: Below 50 mg/kg</t>
  </si>
  <si>
    <t>Medium: 50-150 mg/kg</t>
  </si>
  <si>
    <t>High: Above 150 mg/kg</t>
  </si>
  <si>
    <t>Date</t>
  </si>
  <si>
    <t>Near Shed - West</t>
  </si>
  <si>
    <t>Just before Shed - North</t>
  </si>
  <si>
    <t>Semi Wet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</si>
</sst>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C1" workbookViewId="0">
      <selection activeCell="L8" sqref="L8"/>
    </sheetView>
  </sheetViews>
  <sheetFormatPr defaultRowHeight="14.4" x14ac:dyDescent="0.3"/>
  <cols>
    <col min="1" max="1" width="10.33203125" bestFit="1" customWidth="1"/>
    <col min="2" max="2" width="10" bestFit="1" customWidth="1"/>
    <col min="3" max="3" width="10" style="3" customWidth="1"/>
    <col min="5" max="5" width="11.21875" bestFit="1" customWidth="1"/>
    <col min="6" max="6" width="11.33203125" bestFit="1" customWidth="1"/>
    <col min="7" max="7" width="9.21875" bestFit="1" customWidth="1"/>
  </cols>
  <sheetData>
    <row r="1" spans="1:12" x14ac:dyDescent="0.3">
      <c r="A1" t="s">
        <v>25</v>
      </c>
      <c r="B1" t="s">
        <v>0</v>
      </c>
      <c r="C1" s="3" t="s">
        <v>1</v>
      </c>
      <c r="D1" t="s">
        <v>5</v>
      </c>
      <c r="E1" t="s">
        <v>6</v>
      </c>
      <c r="F1" t="s">
        <v>7</v>
      </c>
      <c r="G1" t="s">
        <v>12</v>
      </c>
      <c r="H1" t="s">
        <v>8</v>
      </c>
      <c r="I1" t="s">
        <v>9</v>
      </c>
      <c r="J1" t="s">
        <v>10</v>
      </c>
      <c r="K1" t="s">
        <v>11</v>
      </c>
      <c r="L1" t="s">
        <v>2</v>
      </c>
    </row>
    <row r="2" spans="1:12" ht="43.2" x14ac:dyDescent="0.3">
      <c r="A2" s="4">
        <v>45108</v>
      </c>
      <c r="B2" s="1">
        <v>0.53680555555555554</v>
      </c>
      <c r="C2" s="3" t="s">
        <v>27</v>
      </c>
      <c r="D2">
        <f>427/10</f>
        <v>42.7</v>
      </c>
      <c r="E2">
        <f>91/10</f>
        <v>9.1</v>
      </c>
      <c r="F2">
        <f>91/10</f>
        <v>9.1</v>
      </c>
      <c r="G2">
        <v>0</v>
      </c>
      <c r="H2">
        <f>727/100</f>
        <v>7.27</v>
      </c>
      <c r="I2">
        <v>0</v>
      </c>
      <c r="J2">
        <v>0</v>
      </c>
      <c r="K2">
        <v>0</v>
      </c>
      <c r="L2" t="s">
        <v>3</v>
      </c>
    </row>
    <row r="3" spans="1:12" ht="43.2" x14ac:dyDescent="0.3">
      <c r="A3" s="4">
        <v>45108</v>
      </c>
      <c r="B3" s="1">
        <v>0.54166666666666663</v>
      </c>
      <c r="C3" s="3" t="s">
        <v>27</v>
      </c>
      <c r="D3">
        <f>441/10</f>
        <v>44.1</v>
      </c>
      <c r="E3">
        <f>196/10</f>
        <v>19.600000000000001</v>
      </c>
      <c r="F3">
        <f>186/10</f>
        <v>18.600000000000001</v>
      </c>
      <c r="G3">
        <f>1272/1000</f>
        <v>1.272</v>
      </c>
      <c r="H3">
        <f>657/100</f>
        <v>6.57</v>
      </c>
      <c r="I3">
        <v>78</v>
      </c>
      <c r="J3">
        <v>109</v>
      </c>
      <c r="K3">
        <v>219</v>
      </c>
      <c r="L3" t="s">
        <v>4</v>
      </c>
    </row>
    <row r="4" spans="1:12" ht="28.8" x14ac:dyDescent="0.3">
      <c r="A4" s="4">
        <v>45151</v>
      </c>
      <c r="B4" s="1">
        <v>0.38194444444444442</v>
      </c>
      <c r="C4" s="3" t="s">
        <v>26</v>
      </c>
      <c r="D4">
        <v>29.1</v>
      </c>
      <c r="E4">
        <v>84</v>
      </c>
      <c r="F4">
        <v>84</v>
      </c>
      <c r="G4">
        <f>237/1000</f>
        <v>0.23699999999999999</v>
      </c>
      <c r="H4">
        <v>7.86</v>
      </c>
      <c r="I4">
        <v>16</v>
      </c>
      <c r="J4">
        <v>23</v>
      </c>
      <c r="K4">
        <v>46</v>
      </c>
      <c r="L4" t="s">
        <v>4</v>
      </c>
    </row>
    <row r="5" spans="1:12" ht="28.8" x14ac:dyDescent="0.3">
      <c r="A5" s="4">
        <v>45151</v>
      </c>
      <c r="B5" s="1">
        <v>0.38194444444444442</v>
      </c>
      <c r="C5" s="3" t="s">
        <v>26</v>
      </c>
      <c r="D5">
        <v>28.7</v>
      </c>
      <c r="E5">
        <v>84</v>
      </c>
      <c r="F5">
        <v>84</v>
      </c>
      <c r="G5">
        <f>230/1000</f>
        <v>0.23</v>
      </c>
      <c r="H5">
        <v>8.11</v>
      </c>
      <c r="I5">
        <v>16</v>
      </c>
      <c r="J5">
        <v>23</v>
      </c>
      <c r="K5">
        <v>46</v>
      </c>
      <c r="L5" t="s">
        <v>4</v>
      </c>
    </row>
    <row r="6" spans="1:12" ht="28.8" x14ac:dyDescent="0.3">
      <c r="A6" s="4">
        <v>45151</v>
      </c>
      <c r="B6" s="1">
        <v>0.3888888888888889</v>
      </c>
      <c r="C6" s="3" t="s">
        <v>26</v>
      </c>
      <c r="D6">
        <v>27.5</v>
      </c>
      <c r="E6">
        <v>80</v>
      </c>
      <c r="F6">
        <v>80</v>
      </c>
      <c r="G6">
        <f>226/1000</f>
        <v>0.22600000000000001</v>
      </c>
      <c r="H6">
        <v>6.82</v>
      </c>
      <c r="I6">
        <v>16</v>
      </c>
      <c r="J6">
        <v>23</v>
      </c>
      <c r="K6">
        <v>46</v>
      </c>
      <c r="L6" t="s">
        <v>4</v>
      </c>
    </row>
    <row r="7" spans="1:12" ht="28.8" x14ac:dyDescent="0.3">
      <c r="A7" s="4">
        <v>45151</v>
      </c>
      <c r="B7" s="1">
        <v>0.39583333333333331</v>
      </c>
      <c r="C7" s="3" t="s">
        <v>26</v>
      </c>
      <c r="D7">
        <v>30.1</v>
      </c>
      <c r="E7">
        <v>72</v>
      </c>
      <c r="F7">
        <v>80</v>
      </c>
      <c r="G7">
        <f>212/1000</f>
        <v>0.21199999999999999</v>
      </c>
      <c r="H7">
        <v>6.59</v>
      </c>
      <c r="I7">
        <v>15</v>
      </c>
      <c r="J7">
        <v>21</v>
      </c>
      <c r="K7">
        <v>42</v>
      </c>
      <c r="L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112D-913A-4020-9D86-2DA91D1E73EC}">
  <dimension ref="A1:A14"/>
  <sheetViews>
    <sheetView workbookViewId="0">
      <selection activeCell="A7" sqref="A7"/>
    </sheetView>
  </sheetViews>
  <sheetFormatPr defaultRowHeight="14.4" x14ac:dyDescent="0.3"/>
  <cols>
    <col min="1" max="1" width="22.77734375" bestFit="1" customWidth="1"/>
  </cols>
  <sheetData>
    <row r="1" spans="1:1" x14ac:dyDescent="0.3">
      <c r="A1" s="2" t="s">
        <v>13</v>
      </c>
    </row>
    <row r="2" spans="1:1" x14ac:dyDescent="0.3">
      <c r="A2" s="2" t="s">
        <v>14</v>
      </c>
    </row>
    <row r="3" spans="1:1" x14ac:dyDescent="0.3">
      <c r="A3" s="2" t="s">
        <v>15</v>
      </c>
    </row>
    <row r="4" spans="1:1" x14ac:dyDescent="0.3">
      <c r="A4" s="2" t="s">
        <v>16</v>
      </c>
    </row>
    <row r="5" spans="1:1" x14ac:dyDescent="0.3">
      <c r="A5" s="2"/>
    </row>
    <row r="6" spans="1:1" x14ac:dyDescent="0.3">
      <c r="A6" s="2" t="s">
        <v>17</v>
      </c>
    </row>
    <row r="7" spans="1:1" x14ac:dyDescent="0.3">
      <c r="A7" s="2" t="s">
        <v>18</v>
      </c>
    </row>
    <row r="8" spans="1:1" x14ac:dyDescent="0.3">
      <c r="A8" s="2" t="s">
        <v>19</v>
      </c>
    </row>
    <row r="9" spans="1:1" x14ac:dyDescent="0.3">
      <c r="A9" s="2" t="s">
        <v>20</v>
      </c>
    </row>
    <row r="10" spans="1:1" x14ac:dyDescent="0.3">
      <c r="A10" s="2"/>
    </row>
    <row r="11" spans="1:1" x14ac:dyDescent="0.3">
      <c r="A11" s="2" t="s">
        <v>21</v>
      </c>
    </row>
    <row r="12" spans="1:1" x14ac:dyDescent="0.3">
      <c r="A12" s="2" t="s">
        <v>22</v>
      </c>
    </row>
    <row r="13" spans="1:1" x14ac:dyDescent="0.3">
      <c r="A13" s="2" t="s">
        <v>23</v>
      </c>
    </row>
    <row r="14" spans="1:1" x14ac:dyDescent="0.3">
      <c r="A1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01-Jul</vt:lpstr>
      <vt:lpstr>ChatGPT_Ref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</dc:creator>
  <cp:lastModifiedBy>Selva</cp:lastModifiedBy>
  <dcterms:created xsi:type="dcterms:W3CDTF">2015-06-05T18:17:20Z</dcterms:created>
  <dcterms:modified xsi:type="dcterms:W3CDTF">2023-08-14T04:20:48Z</dcterms:modified>
</cp:coreProperties>
</file>